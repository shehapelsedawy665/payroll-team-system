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نموذج القطاع الخاص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<sst xmlns="http://schemas.openxmlformats.org/spreadsheetml/2006/main" count="222" uniqueCount="216">
  <si>
    <t xml:space="preserve">مسلسل</t>
  </si>
  <si>
    <t xml:space="preserve">كود الموظف</t>
  </si>
  <si>
    <t xml:space="preserve">اسم الموظف</t>
  </si>
  <si>
    <t xml:space="preserve">الجنسية</t>
  </si>
  <si>
    <t xml:space="preserve">الرقم القومي</t>
  </si>
  <si>
    <t xml:space="preserve">رقم جواز السفر</t>
  </si>
  <si>
    <t xml:space="preserve">رقم جواز السفر الجديد</t>
  </si>
  <si>
    <t xml:space="preserve">رقم التليفون</t>
  </si>
  <si>
    <t xml:space="preserve">حالة تصريح العمل لغير المصريين</t>
  </si>
  <si>
    <t xml:space="preserve">رقم تصريح العمل</t>
  </si>
  <si>
    <t xml:space="preserve">الوظيفة</t>
  </si>
  <si>
    <t xml:space="preserve">اسم الجهة/الفرع</t>
  </si>
  <si>
    <t xml:space="preserve">المعاملة الضريبية</t>
  </si>
  <si>
    <t xml:space="preserve">رقم التسجيل الضريبي لجهة العمل الأصلية</t>
  </si>
  <si>
    <t xml:space="preserve">مدة العمل</t>
  </si>
  <si>
    <t xml:space="preserve">الحالة التأمينية</t>
  </si>
  <si>
    <t xml:space="preserve">الرقم التأمينى</t>
  </si>
  <si>
    <t xml:space="preserve">تاريخ الالتحاق بالتأمينات</t>
  </si>
  <si>
    <t xml:space="preserve">قسط مدة سابقة</t>
  </si>
  <si>
    <t xml:space="preserve">تاريخ نهاية الخدمة</t>
  </si>
  <si>
    <t xml:space="preserve">تاريخ انتهاء الاشتراك من التأمينات</t>
  </si>
  <si>
    <t xml:space="preserve">الأجر الشامل</t>
  </si>
  <si>
    <t xml:space="preserve">بدلات غير خاضعة تأمينيأ</t>
  </si>
  <si>
    <t xml:space="preserve">الأجر التأميني</t>
  </si>
  <si>
    <t xml:space="preserve">حالة التأمين الصحي الشامل</t>
  </si>
  <si>
    <t xml:space="preserve">عدد الزوجات الغير عاملات</t>
  </si>
  <si>
    <t xml:space="preserve">عدد المعالين</t>
  </si>
  <si>
    <t xml:space="preserve">المرتب الأساسي</t>
  </si>
  <si>
    <t xml:space="preserve">مكافات وحوافز/أجر إضافي/منح</t>
  </si>
  <si>
    <t xml:space="preserve">علاوات خاصة معفاة</t>
  </si>
  <si>
    <t xml:space="preserve">علاوات خاصة خاضعة</t>
  </si>
  <si>
    <t xml:space="preserve">عمولات</t>
  </si>
  <si>
    <t xml:space="preserve">نصيب العامل في الأرباح</t>
  </si>
  <si>
    <t xml:space="preserve">مقابل الخدمة</t>
  </si>
  <si>
    <t xml:space="preserve">البقشيش</t>
  </si>
  <si>
    <t xml:space="preserve">مرتبات رؤساء مجلس الادارة</t>
  </si>
  <si>
    <t xml:space="preserve">المقابل النقدى لرصيد الاجازات</t>
  </si>
  <si>
    <t xml:space="preserve">مكافأة نهاية الخدمة الخاضعة</t>
  </si>
  <si>
    <t xml:space="preserve">مبالغ منصرفة بقوانين خاصة</t>
  </si>
  <si>
    <t xml:space="preserve">إضافات وبدلات اخرى خاضعة</t>
  </si>
  <si>
    <t xml:space="preserve">ما تحملته المنشاة من ضريبة مرتبات</t>
  </si>
  <si>
    <t xml:space="preserve">ما تحملته المنشأه من حصة العامل في التأمينات</t>
  </si>
  <si>
    <t xml:space="preserve">مبالغ خاضعة ربع سنوية</t>
  </si>
  <si>
    <t xml:space="preserve">مبالغ خاضعة نصف سنوية</t>
  </si>
  <si>
    <t xml:space="preserve">مبالغ خاضعة سنوية</t>
  </si>
  <si>
    <t xml:space="preserve">مزايا: السيارات</t>
  </si>
  <si>
    <t xml:space="preserve">مزايا: الهواتف المحمولة</t>
  </si>
  <si>
    <t xml:space="preserve">مزايا: قروض وسلف</t>
  </si>
  <si>
    <t xml:space="preserve">مزايا: التأمين على الحياة</t>
  </si>
  <si>
    <t xml:space="preserve">مزايا: اسهم الشركة</t>
  </si>
  <si>
    <t xml:space="preserve">مزايا أخرى</t>
  </si>
  <si>
    <t xml:space="preserve">اجمالى الاستحقاقات</t>
  </si>
  <si>
    <t xml:space="preserve">حصة العامل في التأمينات</t>
  </si>
  <si>
    <t xml:space="preserve">حصة العامل في التأمين الصحي</t>
  </si>
  <si>
    <t xml:space="preserve">مبالغ معفاة بقوانين خاصة</t>
  </si>
  <si>
    <t xml:space="preserve">العلاوة الاجتماعية</t>
  </si>
  <si>
    <t xml:space="preserve">الاعفاء الشخصى</t>
  </si>
  <si>
    <t xml:space="preserve">اقساط مدة سابقة</t>
  </si>
  <si>
    <t xml:space="preserve">اشتراكات صناديق التامين (ق54/75)</t>
  </si>
  <si>
    <t xml:space="preserve">اشتراكات صناديق التامين (ق155/2024)</t>
  </si>
  <si>
    <t xml:space="preserve">أقساط التأمين على الحياة</t>
  </si>
  <si>
    <t xml:space="preserve">أقساط التأمين الصحي</t>
  </si>
  <si>
    <t xml:space="preserve">أقساط تأمين لاستحقاق معاش</t>
  </si>
  <si>
    <t xml:space="preserve">إجمالي اشتراكات صناديق التأمين</t>
  </si>
  <si>
    <t xml:space="preserve">اجمالى الاستقطاعات</t>
  </si>
  <si>
    <t xml:space="preserve">صافى الدخل (وعاء الفتره)</t>
  </si>
  <si>
    <t xml:space="preserve">الوعاء السنوى</t>
  </si>
  <si>
    <t xml:space="preserve">الضريبة المستحقة (عمالة أصلية)</t>
  </si>
  <si>
    <t xml:space="preserve">الضريبة المستحقة (نموذج 3)</t>
  </si>
  <si>
    <t xml:space="preserve">الضريبة المستحقة (نموذج 2)</t>
  </si>
  <si>
    <t xml:space="preserve">اجمالى الضريبة المستحقة</t>
  </si>
  <si>
    <t xml:space="preserve">الضريبة المحتسبة عن الفترة</t>
  </si>
  <si>
    <t xml:space="preserve">ضريبة فترات سابقة (معاملة 1,4,5,6,7)</t>
  </si>
  <si>
    <t xml:space="preserve">ضريبة الفترة (معاملة 1,4,5,6,7)</t>
  </si>
  <si>
    <t xml:space="preserve">ضريبة فترات سابقة (معاملة 2)</t>
  </si>
  <si>
    <t xml:space="preserve">ضريبة الفترة (معاملة 2)</t>
  </si>
  <si>
    <t xml:space="preserve">ضريبة فترات سابقة (معاملة 3)</t>
  </si>
  <si>
    <t xml:space="preserve">ضريبة الفترة (معاملة 3)</t>
  </si>
  <si>
    <t xml:space="preserve">صافي الأجر النهائي</t>
  </si>
  <si>
    <t xml:space="preserve">صندوق الشهداء</t>
  </si>
  <si>
    <t xml:space="preserve">دعم ذوي الهمم</t>
  </si>
  <si>
    <t xml:space="preserve">اضافات: السلفة/قروض</t>
  </si>
  <si>
    <t xml:space="preserve">اضافات: مكافأة نهاية الخدمة غير خاضعة</t>
  </si>
  <si>
    <t xml:space="preserve">اضافات: رصيد الأجازات غير خاضعة</t>
  </si>
  <si>
    <t xml:space="preserve">اضافات أخرى</t>
  </si>
  <si>
    <t xml:space="preserve">استقطاعات: نفقة</t>
  </si>
  <si>
    <t xml:space="preserve">استقطاعات: قسط السلفة/القرض</t>
  </si>
  <si>
    <t xml:space="preserve">استقطاعات: اشتراكات نقابات</t>
  </si>
  <si>
    <t xml:space="preserve">استقطاعات: جزاءات</t>
  </si>
  <si>
    <t xml:space="preserve">استقطاعات: قسط بوليصة التأمين</t>
  </si>
  <si>
    <t xml:space="preserve">استقطاعات أخرى</t>
  </si>
  <si>
    <t xml:space="preserve">حصة الشركة في التأمينات</t>
  </si>
  <si>
    <t xml:space="preserve">حصة الشركة في التأمين الصحي</t>
  </si>
  <si>
    <t xml:space="preserve">المساهمة في صندوق الشهداء</t>
  </si>
  <si>
    <t xml:space="preserve">الدمغات</t>
  </si>
  <si>
    <t xml:space="preserve">المبالغ المحولة فعلياً</t>
  </si>
  <si>
    <t xml:space="preserve">EI005</t>
  </si>
  <si>
    <t xml:space="preserve">EI010</t>
  </si>
  <si>
    <t xml:space="preserve">EI015</t>
  </si>
  <si>
    <t xml:space="preserve">EI020</t>
  </si>
  <si>
    <t xml:space="preserve">EI025</t>
  </si>
  <si>
    <t xml:space="preserve">EI026</t>
  </si>
  <si>
    <t xml:space="preserve">EI027</t>
  </si>
  <si>
    <t xml:space="preserve">EI030</t>
  </si>
  <si>
    <t xml:space="preserve">EI035</t>
  </si>
  <si>
    <t xml:space="preserve">EI040</t>
  </si>
  <si>
    <t xml:space="preserve">EI045</t>
  </si>
  <si>
    <t xml:space="preserve">EI055</t>
  </si>
  <si>
    <t xml:space="preserve">EI060</t>
  </si>
  <si>
    <t xml:space="preserve">EI065</t>
  </si>
  <si>
    <t xml:space="preserve">EI130</t>
  </si>
  <si>
    <t xml:space="preserve">EI070</t>
  </si>
  <si>
    <t xml:space="preserve">EI075</t>
  </si>
  <si>
    <t xml:space="preserve">EI080</t>
  </si>
  <si>
    <t xml:space="preserve">EI085</t>
  </si>
  <si>
    <t xml:space="preserve">EI090</t>
  </si>
  <si>
    <t xml:space="preserve">EI095</t>
  </si>
  <si>
    <t xml:space="preserve">EI100</t>
  </si>
  <si>
    <t xml:space="preserve">EI105</t>
  </si>
  <si>
    <t xml:space="preserve">EI110</t>
  </si>
  <si>
    <t xml:space="preserve">EI115</t>
  </si>
  <si>
    <t xml:space="preserve">EI120</t>
  </si>
  <si>
    <t xml:space="preserve">EI125</t>
  </si>
  <si>
    <t xml:space="preserve">DTE160</t>
  </si>
  <si>
    <t xml:space="preserve">DTE170</t>
  </si>
  <si>
    <t xml:space="preserve">DTE180</t>
  </si>
  <si>
    <t xml:space="preserve">DTE175</t>
  </si>
  <si>
    <t xml:space="preserve">DTE190</t>
  </si>
  <si>
    <t xml:space="preserve">DTE230</t>
  </si>
  <si>
    <t xml:space="preserve">DTE235</t>
  </si>
  <si>
    <t xml:space="preserve">DTE260</t>
  </si>
  <si>
    <t xml:space="preserve">DTE240</t>
  </si>
  <si>
    <t xml:space="preserve">DTE245</t>
  </si>
  <si>
    <t xml:space="preserve">DTE250</t>
  </si>
  <si>
    <t xml:space="preserve">DTE255</t>
  </si>
  <si>
    <t xml:space="preserve">DTE265</t>
  </si>
  <si>
    <t xml:space="preserve">DTE270</t>
  </si>
  <si>
    <t xml:space="preserve">DTE275</t>
  </si>
  <si>
    <t xml:space="preserve">DTE280</t>
  </si>
  <si>
    <t xml:space="preserve">DTE285</t>
  </si>
  <si>
    <t xml:space="preserve">DTE290</t>
  </si>
  <si>
    <t xml:space="preserve">DTE200</t>
  </si>
  <si>
    <t xml:space="preserve">DTE205</t>
  </si>
  <si>
    <t xml:space="preserve">DTE210</t>
  </si>
  <si>
    <t xml:space="preserve">DTE215</t>
  </si>
  <si>
    <t xml:space="preserve">DTE220</t>
  </si>
  <si>
    <t xml:space="preserve">DTE225</t>
  </si>
  <si>
    <t xml:space="preserve">DTE295</t>
  </si>
  <si>
    <t xml:space="preserve">DAE405</t>
  </si>
  <si>
    <t xml:space="preserve">DAE410</t>
  </si>
  <si>
    <t xml:space="preserve">DAE415</t>
  </si>
  <si>
    <t xml:space="preserve">DAE420</t>
  </si>
  <si>
    <t xml:space="preserve">DAE425</t>
  </si>
  <si>
    <t xml:space="preserve">DAE430</t>
  </si>
  <si>
    <t xml:space="preserve">DAE435</t>
  </si>
  <si>
    <t xml:space="preserve">DAE440</t>
  </si>
  <si>
    <t xml:space="preserve">DAE450</t>
  </si>
  <si>
    <t xml:space="preserve">DAE451</t>
  </si>
  <si>
    <t xml:space="preserve">DAE455</t>
  </si>
  <si>
    <t xml:space="preserve">DAE460</t>
  </si>
  <si>
    <t xml:space="preserve">DAE465</t>
  </si>
  <si>
    <t xml:space="preserve">DAE470</t>
  </si>
  <si>
    <t xml:space="preserve">DAE475</t>
  </si>
  <si>
    <t xml:space="preserve">TC505</t>
  </si>
  <si>
    <t xml:space="preserve">TC510</t>
  </si>
  <si>
    <t xml:space="preserve">TC515</t>
  </si>
  <si>
    <t xml:space="preserve">TC520</t>
  </si>
  <si>
    <t xml:space="preserve">TC525</t>
  </si>
  <si>
    <t xml:space="preserve">TC530</t>
  </si>
  <si>
    <t xml:space="preserve">END705</t>
  </si>
  <si>
    <t xml:space="preserve">TC535</t>
  </si>
  <si>
    <t xml:space="preserve">TC540</t>
  </si>
  <si>
    <t xml:space="preserve">TC545</t>
  </si>
  <si>
    <t xml:space="preserve">TC550</t>
  </si>
  <si>
    <t xml:space="preserve">TC555</t>
  </si>
  <si>
    <t xml:space="preserve">TC560</t>
  </si>
  <si>
    <t xml:space="preserve">TC565</t>
  </si>
  <si>
    <t xml:space="preserve">NAD610</t>
  </si>
  <si>
    <t xml:space="preserve">CLD825</t>
  </si>
  <si>
    <t xml:space="preserve">NAD615</t>
  </si>
  <si>
    <t xml:space="preserve">NAD620</t>
  </si>
  <si>
    <t xml:space="preserve">NAD625</t>
  </si>
  <si>
    <t xml:space="preserve">NAD630</t>
  </si>
  <si>
    <t xml:space="preserve">NAD635</t>
  </si>
  <si>
    <t xml:space="preserve">NAD640</t>
  </si>
  <si>
    <t xml:space="preserve">NAD645</t>
  </si>
  <si>
    <t xml:space="preserve">NAD650</t>
  </si>
  <si>
    <t xml:space="preserve">NAD655</t>
  </si>
  <si>
    <t xml:space="preserve">NAD660</t>
  </si>
  <si>
    <t xml:space="preserve">CLD805</t>
  </si>
  <si>
    <t xml:space="preserve">CLD810</t>
  </si>
  <si>
    <t xml:space="preserve">CLD815</t>
  </si>
  <si>
    <t xml:space="preserve">CLD820</t>
  </si>
  <si>
    <t xml:space="preserve">NAD665</t>
  </si>
  <si>
    <t xml:space="preserve">EMP001</t>
  </si>
  <si>
    <t xml:space="preserve">أحمد محمد علي</t>
  </si>
  <si>
    <t xml:space="preserve">مصري</t>
  </si>
  <si>
    <t xml:space="preserve">29901011234567</t>
  </si>
  <si>
    <t xml:space="preserve">01001234567</t>
  </si>
  <si>
    <t xml:space="preserve">محاسب</t>
  </si>
  <si>
    <t xml:space="preserve">شركة تطوير الأعمال</t>
  </si>
  <si>
    <t xml:space="preserve">123456789</t>
  </si>
  <si>
    <t xml:space="preserve">12345678</t>
  </si>
  <si>
    <t xml:space="preserve">2020-01-01</t>
  </si>
  <si>
    <t xml:space="preserve">0</t>
  </si>
  <si>
    <t xml:space="preserve">EMP002</t>
  </si>
  <si>
    <t xml:space="preserve">سارة إبراهيم حسن</t>
  </si>
  <si>
    <t xml:space="preserve">29503152345678</t>
  </si>
  <si>
    <t xml:space="preserve">01112345678</t>
  </si>
  <si>
    <t xml:space="preserve">مهندس برمجيات</t>
  </si>
  <si>
    <t xml:space="preserve">23456789</t>
  </si>
  <si>
    <t xml:space="preserve">2021-03-15</t>
  </si>
  <si>
    <t xml:space="preserve">الإجمالي</t>
  </si>
  <si>
    <r>
      <rPr>
        <b val="true"/>
        <sz val="10"/>
        <rFont val="FreeSans"/>
        <family val="2"/>
      </rPr>
      <t xml:space="preserve">الشركة</t>
    </r>
    <r>
      <rPr>
        <b val="true"/>
        <sz val="10"/>
        <rFont val="Cambria"/>
        <family val="0"/>
        <charset val="1"/>
      </rPr>
      <t xml:space="preserve">: </t>
    </r>
    <r>
      <rPr>
        <b val="true"/>
        <sz val="10"/>
        <rFont val="FreeSans"/>
        <family val="2"/>
      </rPr>
      <t xml:space="preserve">شركة تطوير الأعمال</t>
    </r>
  </si>
  <si>
    <r>
      <rPr>
        <b val="true"/>
        <sz val="10"/>
        <rFont val="FreeSans"/>
        <family val="2"/>
      </rPr>
      <t xml:space="preserve">الفترة</t>
    </r>
    <r>
      <rPr>
        <b val="true"/>
        <sz val="10"/>
        <rFont val="Cambria"/>
        <family val="0"/>
        <charset val="1"/>
      </rPr>
      <t xml:space="preserve">: 2026-03</t>
    </r>
  </si>
  <si>
    <r>
      <rPr>
        <b val="true"/>
        <sz val="10"/>
        <rFont val="FreeSans"/>
        <family val="2"/>
      </rPr>
      <t xml:space="preserve">عدد الموظفين</t>
    </r>
    <r>
      <rPr>
        <b val="true"/>
        <sz val="10"/>
        <rFont val="Cambria"/>
        <family val="0"/>
        <charset val="1"/>
      </rPr>
      <t xml:space="preserve">: 2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</si>
</sst>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b val="true"/>
      <sz val="7"/>
      <color rgb="FFE8F4FD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7B4700"/>
      <name val="Arial"/>
      <family val="0"/>
      <charset val="1"/>
    </font>
    <font>
      <b val="true"/>
      <sz val="10"/>
      <name val="FreeSans"/>
      <family val="2"/>
    </font>
    <font>
      <b val="true"/>
      <sz val="1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2D6A9F"/>
        <bgColor rgb="FF666699"/>
      </patternFill>
    </fill>
    <fill>
      <patternFill patternType="solid">
        <fgColor rgb="FFF0F7FF"/>
        <bgColor rgb="FFE8F4FD"/>
      </patternFill>
    </fill>
    <fill>
      <patternFill patternType="solid">
        <fgColor rgb="FFFFF3CD"/>
        <bgColor rgb="FFF0F7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8F4FD"/>
      <rgbColor rgb="FF660066"/>
      <rgbColor rgb="FFFF8080"/>
      <rgbColor rgb="FF2D6A9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7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7B4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8" min="6" style="0" width="14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29</v>
      </c>
      <c r="BE1" s="1" t="s">
        <v>55</v>
      </c>
      <c r="BF1" s="1" t="s">
        <v>56</v>
      </c>
      <c r="BG1" s="1" t="s">
        <v>57</v>
      </c>
      <c r="BH1" s="1" t="s">
        <v>32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</row>
    <row r="2" customFormat="false" ht="18" hidden="false" customHeight="true" outlineLevel="0" collapsed="false">
      <c r="A2" s="2" t="s">
        <v>96</v>
      </c>
      <c r="B2" s="2" t="s">
        <v>97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102</v>
      </c>
      <c r="H2" s="2" t="s">
        <v>103</v>
      </c>
      <c r="I2" s="2" t="s">
        <v>104</v>
      </c>
      <c r="J2" s="2" t="s">
        <v>105</v>
      </c>
      <c r="K2" s="2" t="s">
        <v>106</v>
      </c>
      <c r="L2" s="2" t="s">
        <v>107</v>
      </c>
      <c r="M2" s="2" t="s">
        <v>108</v>
      </c>
      <c r="N2" s="2" t="s">
        <v>109</v>
      </c>
      <c r="O2" s="2" t="s">
        <v>110</v>
      </c>
      <c r="P2" s="2" t="s">
        <v>111</v>
      </c>
      <c r="Q2" s="2" t="s">
        <v>112</v>
      </c>
      <c r="R2" s="2" t="s">
        <v>113</v>
      </c>
      <c r="S2" s="2" t="s">
        <v>114</v>
      </c>
      <c r="T2" s="2" t="s">
        <v>115</v>
      </c>
      <c r="U2" s="2" t="s">
        <v>116</v>
      </c>
      <c r="V2" s="2" t="s">
        <v>117</v>
      </c>
      <c r="W2" s="2" t="s">
        <v>118</v>
      </c>
      <c r="X2" s="2" t="s">
        <v>119</v>
      </c>
      <c r="Y2" s="2" t="s">
        <v>120</v>
      </c>
      <c r="Z2" s="2" t="s">
        <v>121</v>
      </c>
      <c r="AA2" s="2" t="s">
        <v>122</v>
      </c>
      <c r="AB2" s="2" t="s">
        <v>123</v>
      </c>
      <c r="AC2" s="2" t="s">
        <v>124</v>
      </c>
      <c r="AD2" s="2" t="s">
        <v>125</v>
      </c>
      <c r="AE2" s="2" t="s">
        <v>126</v>
      </c>
      <c r="AF2" s="2" t="s">
        <v>127</v>
      </c>
      <c r="AG2" s="2" t="s">
        <v>128</v>
      </c>
      <c r="AH2" s="2" t="s">
        <v>129</v>
      </c>
      <c r="AI2" s="2" t="s">
        <v>130</v>
      </c>
      <c r="AJ2" s="2" t="s">
        <v>131</v>
      </c>
      <c r="AK2" s="2" t="s">
        <v>132</v>
      </c>
      <c r="AL2" s="2" t="s">
        <v>133</v>
      </c>
      <c r="AM2" s="2" t="s">
        <v>134</v>
      </c>
      <c r="AN2" s="2" t="s">
        <v>135</v>
      </c>
      <c r="AO2" s="2" t="s">
        <v>136</v>
      </c>
      <c r="AP2" s="2" t="s">
        <v>137</v>
      </c>
      <c r="AQ2" s="2" t="s">
        <v>138</v>
      </c>
      <c r="AR2" s="2" t="s">
        <v>139</v>
      </c>
      <c r="AS2" s="2" t="s">
        <v>140</v>
      </c>
      <c r="AT2" s="2" t="s">
        <v>141</v>
      </c>
      <c r="AU2" s="2" t="s">
        <v>142</v>
      </c>
      <c r="AV2" s="2" t="s">
        <v>143</v>
      </c>
      <c r="AW2" s="2" t="s">
        <v>144</v>
      </c>
      <c r="AX2" s="2" t="s">
        <v>145</v>
      </c>
      <c r="AY2" s="2" t="s">
        <v>146</v>
      </c>
      <c r="AZ2" s="2" t="s">
        <v>147</v>
      </c>
      <c r="BA2" s="2" t="s">
        <v>148</v>
      </c>
      <c r="BB2" s="2" t="s">
        <v>149</v>
      </c>
      <c r="BC2" s="2" t="s">
        <v>150</v>
      </c>
      <c r="BD2" s="2" t="s">
        <v>151</v>
      </c>
      <c r="BE2" s="2" t="s">
        <v>152</v>
      </c>
      <c r="BF2" s="2" t="s">
        <v>153</v>
      </c>
      <c r="BG2" s="2" t="s">
        <v>154</v>
      </c>
      <c r="BH2" s="2" t="s">
        <v>155</v>
      </c>
      <c r="BI2" s="2" t="s">
        <v>156</v>
      </c>
      <c r="BJ2" s="2" t="s">
        <v>157</v>
      </c>
      <c r="BK2" s="2" t="s">
        <v>158</v>
      </c>
      <c r="BL2" s="2" t="s">
        <v>159</v>
      </c>
      <c r="BM2" s="2" t="s">
        <v>160</v>
      </c>
      <c r="BN2" s="2" t="s">
        <v>161</v>
      </c>
      <c r="BO2" s="2" t="s">
        <v>162</v>
      </c>
      <c r="BP2" s="2" t="s">
        <v>163</v>
      </c>
      <c r="BQ2" s="2" t="s">
        <v>164</v>
      </c>
      <c r="BR2" s="2" t="s">
        <v>165</v>
      </c>
      <c r="BS2" s="2" t="s">
        <v>166</v>
      </c>
      <c r="BT2" s="2" t="s">
        <v>167</v>
      </c>
      <c r="BU2" s="2" t="s">
        <v>168</v>
      </c>
      <c r="BV2" s="2" t="s">
        <v>169</v>
      </c>
      <c r="BW2" s="2" t="s">
        <v>170</v>
      </c>
      <c r="BX2" s="2" t="s">
        <v>171</v>
      </c>
      <c r="BY2" s="2" t="s">
        <v>172</v>
      </c>
      <c r="BZ2" s="2" t="s">
        <v>173</v>
      </c>
      <c r="CA2" s="2" t="s">
        <v>174</v>
      </c>
      <c r="CB2" s="2" t="s">
        <v>175</v>
      </c>
      <c r="CC2" s="2" t="s">
        <v>176</v>
      </c>
      <c r="CD2" s="2" t="s">
        <v>177</v>
      </c>
      <c r="CE2" s="2" t="s">
        <v>178</v>
      </c>
      <c r="CF2" s="2" t="s">
        <v>179</v>
      </c>
      <c r="CG2" s="2" t="s">
        <v>180</v>
      </c>
      <c r="CH2" s="2" t="s">
        <v>181</v>
      </c>
      <c r="CI2" s="2" t="s">
        <v>182</v>
      </c>
      <c r="CJ2" s="2" t="s">
        <v>183</v>
      </c>
      <c r="CK2" s="2" t="s">
        <v>184</v>
      </c>
      <c r="CL2" s="2" t="s">
        <v>185</v>
      </c>
      <c r="CM2" s="2" t="s">
        <v>186</v>
      </c>
      <c r="CN2" s="2" t="s">
        <v>187</v>
      </c>
      <c r="CO2" s="2" t="s">
        <v>188</v>
      </c>
      <c r="CP2" s="2" t="s">
        <v>189</v>
      </c>
      <c r="CQ2" s="2" t="s">
        <v>190</v>
      </c>
      <c r="CR2" s="2" t="s">
        <v>191</v>
      </c>
      <c r="CS2" s="2" t="s">
        <v>192</v>
      </c>
      <c r="CT2" s="2" t="s">
        <v>193</v>
      </c>
    </row>
    <row r="3" customFormat="false" ht="15" hidden="false" customHeight="false" outlineLevel="0" collapsed="false">
      <c r="A3" s="3" t="n">
        <v>1</v>
      </c>
      <c r="B3" s="3" t="s">
        <v>194</v>
      </c>
      <c r="C3" s="3" t="s">
        <v>195</v>
      </c>
      <c r="D3" s="3" t="s">
        <v>196</v>
      </c>
      <c r="E3" s="3" t="s">
        <v>197</v>
      </c>
      <c r="F3" s="3" t="n">
        <v>0</v>
      </c>
      <c r="G3" s="3" t="n">
        <v>0</v>
      </c>
      <c r="H3" s="3" t="s">
        <v>198</v>
      </c>
      <c r="I3" s="3"/>
      <c r="J3" s="3"/>
      <c r="K3" s="3" t="s">
        <v>199</v>
      </c>
      <c r="L3" s="3" t="s">
        <v>200</v>
      </c>
      <c r="M3" s="3" t="n">
        <v>1</v>
      </c>
      <c r="N3" s="3" t="s">
        <v>201</v>
      </c>
      <c r="O3" s="4" t="n">
        <v>30</v>
      </c>
      <c r="P3" s="4" t="n">
        <v>1</v>
      </c>
      <c r="Q3" s="3" t="s">
        <v>202</v>
      </c>
      <c r="R3" s="3" t="s">
        <v>203</v>
      </c>
      <c r="S3" s="4" t="n">
        <v>0</v>
      </c>
      <c r="T3" s="4" t="n">
        <v>0</v>
      </c>
      <c r="U3" s="4" t="n">
        <v>0</v>
      </c>
      <c r="V3" s="4" t="n">
        <v>9500</v>
      </c>
      <c r="W3" s="4" t="n">
        <v>0</v>
      </c>
      <c r="X3" s="4" t="n">
        <v>9500</v>
      </c>
      <c r="Y3" s="4" t="n">
        <v>1</v>
      </c>
      <c r="Z3" s="4" t="n">
        <v>0</v>
      </c>
      <c r="AA3" s="4" t="n">
        <v>0</v>
      </c>
      <c r="AB3" s="4" t="n">
        <v>8000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1500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9500</v>
      </c>
      <c r="BA3" s="4" t="n">
        <v>1045</v>
      </c>
      <c r="BB3" s="4" t="n">
        <v>0</v>
      </c>
      <c r="BC3" s="4" t="n">
        <v>0</v>
      </c>
      <c r="BD3" s="4" t="n">
        <v>0</v>
      </c>
      <c r="BE3" s="4" t="n">
        <v>0</v>
      </c>
      <c r="BF3" s="3" t="s">
        <v>204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1362.25</v>
      </c>
      <c r="BP3" s="4" t="n">
        <v>5650</v>
      </c>
      <c r="BQ3" s="4" t="n">
        <v>67800</v>
      </c>
      <c r="BR3" s="4" t="n">
        <v>312.5</v>
      </c>
      <c r="BS3" s="4" t="n">
        <v>0</v>
      </c>
      <c r="BT3" s="4" t="n">
        <v>0</v>
      </c>
      <c r="BU3" s="4" t="n">
        <v>312.5</v>
      </c>
      <c r="BV3" s="4" t="n">
        <v>312.5</v>
      </c>
      <c r="BW3" s="4" t="n">
        <v>0</v>
      </c>
      <c r="BX3" s="4" t="n">
        <v>312.5</v>
      </c>
      <c r="BY3" s="4" t="n">
        <v>0</v>
      </c>
      <c r="BZ3" s="4" t="n">
        <v>0</v>
      </c>
      <c r="CA3" s="4" t="n">
        <v>0</v>
      </c>
      <c r="CB3" s="4" t="n">
        <v>0</v>
      </c>
      <c r="CC3" s="4" t="n">
        <v>8137.75</v>
      </c>
      <c r="CD3" s="4" t="n">
        <v>4.75</v>
      </c>
      <c r="CE3" s="4" t="n">
        <v>0</v>
      </c>
      <c r="CF3" s="4" t="n">
        <v>0</v>
      </c>
      <c r="CG3" s="4" t="n">
        <v>0</v>
      </c>
      <c r="CH3" s="4" t="n">
        <v>0</v>
      </c>
      <c r="CI3" s="4" t="n">
        <v>0</v>
      </c>
      <c r="CJ3" s="4" t="n">
        <v>0</v>
      </c>
      <c r="CK3" s="4" t="n">
        <v>0</v>
      </c>
      <c r="CL3" s="4" t="n">
        <v>0</v>
      </c>
      <c r="CM3" s="4" t="n">
        <v>0</v>
      </c>
      <c r="CN3" s="4" t="n">
        <v>0</v>
      </c>
      <c r="CO3" s="4" t="n">
        <v>0</v>
      </c>
      <c r="CP3" s="4" t="n">
        <v>1837</v>
      </c>
      <c r="CQ3" s="4" t="n">
        <v>0</v>
      </c>
      <c r="CR3" s="4" t="n">
        <v>4.75</v>
      </c>
      <c r="CS3" s="4" t="n">
        <v>0</v>
      </c>
      <c r="CT3" s="4" t="n">
        <v>8137.75</v>
      </c>
    </row>
    <row r="4" customFormat="false" ht="15" hidden="false" customHeight="false" outlineLevel="0" collapsed="false">
      <c r="A4" s="5" t="n">
        <v>2</v>
      </c>
      <c r="B4" s="5" t="s">
        <v>205</v>
      </c>
      <c r="C4" s="5" t="s">
        <v>206</v>
      </c>
      <c r="D4" s="5" t="s">
        <v>196</v>
      </c>
      <c r="E4" s="5" t="s">
        <v>207</v>
      </c>
      <c r="F4" s="5" t="n">
        <v>0</v>
      </c>
      <c r="G4" s="5" t="n">
        <v>0</v>
      </c>
      <c r="H4" s="5" t="s">
        <v>208</v>
      </c>
      <c r="I4" s="5"/>
      <c r="J4" s="5"/>
      <c r="K4" s="5" t="s">
        <v>209</v>
      </c>
      <c r="L4" s="5" t="s">
        <v>200</v>
      </c>
      <c r="M4" s="5" t="n">
        <v>1</v>
      </c>
      <c r="N4" s="5" t="s">
        <v>201</v>
      </c>
      <c r="O4" s="6" t="n">
        <v>30</v>
      </c>
      <c r="P4" s="6" t="n">
        <v>1</v>
      </c>
      <c r="Q4" s="5" t="s">
        <v>210</v>
      </c>
      <c r="R4" s="5" t="s">
        <v>211</v>
      </c>
      <c r="S4" s="6" t="n">
        <v>0</v>
      </c>
      <c r="T4" s="6" t="n">
        <v>0</v>
      </c>
      <c r="U4" s="6" t="n">
        <v>0</v>
      </c>
      <c r="V4" s="6" t="n">
        <v>14000</v>
      </c>
      <c r="W4" s="6" t="n">
        <v>0</v>
      </c>
      <c r="X4" s="6" t="n">
        <v>14000</v>
      </c>
      <c r="Y4" s="6" t="n">
        <v>1</v>
      </c>
      <c r="Z4" s="6" t="n">
        <v>0</v>
      </c>
      <c r="AA4" s="6" t="n">
        <v>0</v>
      </c>
      <c r="AB4" s="6" t="n">
        <v>12000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2000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14000</v>
      </c>
      <c r="BA4" s="6" t="n">
        <v>1540</v>
      </c>
      <c r="BB4" s="6" t="n">
        <v>0</v>
      </c>
      <c r="BC4" s="6" t="n">
        <v>0</v>
      </c>
      <c r="BD4" s="6" t="n">
        <v>0</v>
      </c>
      <c r="BE4" s="6" t="n">
        <v>0</v>
      </c>
      <c r="BF4" s="5" t="s">
        <v>204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2682.75</v>
      </c>
      <c r="BP4" s="6" t="n">
        <v>9655</v>
      </c>
      <c r="BQ4" s="6" t="n">
        <v>115860</v>
      </c>
      <c r="BR4" s="6" t="n">
        <v>1135.75</v>
      </c>
      <c r="BS4" s="6" t="n">
        <v>0</v>
      </c>
      <c r="BT4" s="6" t="n">
        <v>0</v>
      </c>
      <c r="BU4" s="6" t="n">
        <v>1135.75</v>
      </c>
      <c r="BV4" s="6" t="n">
        <v>1135.75</v>
      </c>
      <c r="BW4" s="6" t="n">
        <v>0</v>
      </c>
      <c r="BX4" s="6" t="n">
        <v>1135.75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11317.25</v>
      </c>
      <c r="CD4" s="6" t="n">
        <v>7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2695</v>
      </c>
      <c r="CQ4" s="6" t="n">
        <v>0</v>
      </c>
      <c r="CR4" s="6" t="n">
        <v>7</v>
      </c>
      <c r="CS4" s="6" t="n">
        <v>0</v>
      </c>
      <c r="CT4" s="6" t="n">
        <v>11317.25</v>
      </c>
    </row>
    <row r="5" customFormat="false" ht="15" hidden="false" customHeight="false" outlineLevel="0" collapsed="false">
      <c r="A5" s="7" t="s">
        <v>212</v>
      </c>
      <c r="U5" s="8" t="n">
        <f aca="false">SUM(U3:U4)</f>
        <v>0</v>
      </c>
      <c r="V5" s="8" t="n">
        <f aca="false">SUM(V3:V4)</f>
        <v>23500</v>
      </c>
      <c r="W5" s="8" t="n">
        <f aca="false">SUM(W3:W4)</f>
        <v>0</v>
      </c>
      <c r="AA5" s="8" t="n">
        <f aca="false">SUM(AA3:AA4)</f>
        <v>0</v>
      </c>
      <c r="AB5" s="8" t="n">
        <f aca="false">SUM(AB3:AB4)</f>
        <v>20000</v>
      </c>
      <c r="AY5" s="8" t="n">
        <f aca="false">SUM(AY3:AY4)</f>
        <v>0</v>
      </c>
      <c r="AZ5" s="8" t="n">
        <f aca="false">SUM(AZ3:AZ4)</f>
        <v>23500</v>
      </c>
      <c r="BN5" s="8" t="n">
        <f aca="false">SUM(BN3:BN4)</f>
        <v>0</v>
      </c>
      <c r="BO5" s="8" t="n">
        <f aca="false">SUM(BO3:BO4)</f>
        <v>4045</v>
      </c>
      <c r="BP5" s="8" t="n">
        <f aca="false">SUM(BP3:BP4)</f>
        <v>15305</v>
      </c>
      <c r="BQ5" s="8" t="n">
        <f aca="false">SUM(BQ3:BQ4)</f>
        <v>183660</v>
      </c>
      <c r="BT5" s="8" t="n">
        <f aca="false">SUM(BT3:BT4)</f>
        <v>0</v>
      </c>
      <c r="BU5" s="8" t="n">
        <f aca="false">SUM(BU3:BU4)</f>
        <v>1448.25</v>
      </c>
      <c r="CB5" s="8" t="n">
        <f aca="false">SUM(CB3:CB4)</f>
        <v>0</v>
      </c>
      <c r="CC5" s="8" t="n">
        <f aca="false">SUM(CC3:CC4)</f>
        <v>19455</v>
      </c>
      <c r="CO5" s="8" t="n">
        <f aca="false">SUM(CO3:CO4)</f>
        <v>0</v>
      </c>
      <c r="CS5" s="8" t="n">
        <f aca="false">SUM(CS3:CS4)</f>
        <v>0</v>
      </c>
    </row>
    <row r="7" customFormat="false" ht="15" hidden="false" customHeight="false" outlineLevel="0" collapsed="false">
      <c r="A7" s="9" t="s">
        <v>213</v>
      </c>
    </row>
    <row r="8" customFormat="false" ht="15" hidden="false" customHeight="false" outlineLevel="0" collapsed="false">
      <c r="A8" s="9" t="s">
        <v>214</v>
      </c>
    </row>
    <row r="9" customFormat="false" ht="15" hidden="false" customHeight="false" outlineLevel="0" collapsed="false">
      <c r="A9" s="9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2026-04-10T17:07:37Z</dcterms:created>
  <dc:creator>openpyxl</dc:creator>
  <dc:description/>
  <dc:language>en-US</dc:language>
  <cp:lastModifiedBy/>
  <dcterms:modified xsi:type="dcterms:W3CDTF">2026-04-10T17:07:37Z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